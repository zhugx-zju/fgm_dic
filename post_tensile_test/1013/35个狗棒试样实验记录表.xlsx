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yProject\FE-MIN\experiment\stl\dogbone_compact_50mm\"/>
    </mc:Choice>
  </mc:AlternateContent>
  <xr:revisionPtr revIDLastSave="0" documentId="13_ncr:1_{F7CDD8EC-E724-4038-8BA2-45F2B38CF0DF}" xr6:coauthVersionLast="47" xr6:coauthVersionMax="47" xr10:uidLastSave="{00000000-0000-0000-0000-000000000000}"/>
  <bookViews>
    <workbookView xWindow="-83" yWindow="-83" windowWidth="22666" windowHeight="13516" xr2:uid="{00000000-000D-0000-FFFF-FFFF00000000}"/>
  </bookViews>
  <sheets>
    <sheet name="试验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" l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<sst xmlns="http://schemas.openxmlformats.org/spreadsheetml/2006/main" count="52" uniqueCount="51">
  <si>
    <t>35个狗棒试样杨氏模量试验记录表</t>
  </si>
  <si>
    <t>每行对应一根试样。填写平均窄段宽度和平均厚度后，截面积自动计算；记录引伸计/DIC杨氏模量及DIC有效泊松比。</t>
  </si>
  <si>
    <t>试样身份</t>
  </si>
  <si>
    <t>关键几何尺寸</t>
  </si>
  <si>
    <t>杨氏模量与泊松比</t>
  </si>
  <si>
    <t>备注</t>
  </si>
  <si>
    <t>填充率 (%)</t>
  </si>
  <si>
    <t>组内编号</t>
  </si>
  <si>
    <t>试样编号</t>
  </si>
  <si>
    <t>平均窄段宽度 b (mm)</t>
  </si>
  <si>
    <t>平均厚度 t (mm)</t>
  </si>
  <si>
    <t>初始截面积 A0 (mm²)</t>
  </si>
  <si>
    <t>原始标距 L0 (mm)</t>
  </si>
  <si>
    <t>引伸计杨氏模量 Eext (MPa)</t>
  </si>
  <si>
    <t>DIC杨氏模量 EDIC (MPa)</t>
  </si>
  <si>
    <t>DIC有效泊松比 νeff</t>
  </si>
  <si>
    <t>40-1</t>
  </si>
  <si>
    <t>40-2</t>
  </si>
  <si>
    <t>40-3</t>
  </si>
  <si>
    <t>40-4</t>
  </si>
  <si>
    <t>40-5</t>
  </si>
  <si>
    <t>50-1</t>
  </si>
  <si>
    <t>50-2</t>
  </si>
  <si>
    <t>50-3</t>
  </si>
  <si>
    <t>50-4</t>
  </si>
  <si>
    <t>50-5</t>
  </si>
  <si>
    <t>60-1</t>
  </si>
  <si>
    <t>60-2</t>
  </si>
  <si>
    <t>60-3</t>
  </si>
  <si>
    <t>60-4</t>
  </si>
  <si>
    <t>60-5</t>
  </si>
  <si>
    <t>70-1</t>
  </si>
  <si>
    <t>70-2</t>
  </si>
  <si>
    <t>70-3</t>
  </si>
  <si>
    <t>70-4</t>
  </si>
  <si>
    <t>70-5</t>
  </si>
  <si>
    <t>80-1</t>
  </si>
  <si>
    <t>80-2</t>
  </si>
  <si>
    <t>80-3</t>
  </si>
  <si>
    <t>80-4</t>
  </si>
  <si>
    <t>80-5</t>
  </si>
  <si>
    <t>90-1</t>
  </si>
  <si>
    <t>90-2</t>
  </si>
  <si>
    <t>90-3</t>
  </si>
  <si>
    <t>90-4</t>
  </si>
  <si>
    <t>90-5</t>
  </si>
  <si>
    <t>100-1</t>
  </si>
  <si>
    <t>100-2</t>
  </si>
  <si>
    <t>100-3</t>
  </si>
  <si>
    <t>100-4</t>
  </si>
  <si>
    <t>100-5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</si>
</sst>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9">
    <font>
      <sz val="11"/>
      <name val="Carlito"/>
    </font>
    <font>
      <sz val="10"/>
      <color rgb="FF1F2937"/>
      <name val="Arial"/>
      <family val="2"/>
    </font>
    <font>
      <b/>
      <sz val="15"/>
      <color rgb="FF1F2937"/>
      <name val="Arial"/>
      <family val="2"/>
    </font>
    <font>
      <i/>
      <sz val="9"/>
      <color rgb="FF4B5563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1D4ED8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6B4F"/>
      </patternFill>
    </fill>
    <fill>
      <patternFill patternType="solid">
        <fgColor rgb="FFA85D13"/>
      </patternFill>
    </fill>
    <fill>
      <patternFill patternType="solid">
        <fgColor rgb="FF60497A"/>
      </patternFill>
    </fill>
    <fill>
      <patternFill patternType="solid">
        <fgColor rgb="FF243B53"/>
      </patternFill>
    </fill>
    <fill>
      <patternFill patternType="solid">
        <fgColor rgb="FFFFF4CC"/>
      </patternFill>
    </fill>
    <fill>
      <patternFill patternType="solid">
        <fgColor rgb="FFDCEEFF"/>
      </patternFill>
    </fill>
    <fill>
      <patternFill patternType="solid">
        <fgColor rgb="FFE5E7EB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9EAD3"/>
      </patternFill>
    </fill>
  </fills>
  <borders count="12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9CA3AF"/>
      </left>
      <right/>
      <top style="thin">
        <color rgb="FF9CA3AF"/>
      </top>
      <bottom/>
      <diagonal/>
    </border>
    <border>
      <left/>
      <right/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/>
      <diagonal/>
    </border>
    <border>
      <left style="thin">
        <color rgb="FF9CA3AF"/>
      </left>
      <right/>
      <top/>
      <bottom/>
      <diagonal/>
    </border>
    <border>
      <left/>
      <right style="thin">
        <color rgb="FF9CA3AF"/>
      </right>
      <top/>
      <bottom/>
      <diagonal/>
    </border>
    <border>
      <left style="thin">
        <color rgb="FF9CA3AF"/>
      </left>
      <right/>
      <top/>
      <bottom style="thin">
        <color rgb="FF9CA3AF"/>
      </bottom>
      <diagonal/>
    </border>
    <border>
      <left/>
      <right/>
      <top/>
      <bottom style="thin">
        <color rgb="FF9CA3AF"/>
      </bottom>
      <diagonal/>
    </border>
    <border>
      <left/>
      <right style="thin">
        <color rgb="FF9CA3AF"/>
      </right>
      <top/>
      <bottom style="thin">
        <color rgb="FF9CA3AF"/>
      </bottom>
      <diagonal/>
    </border>
  </borders>
  <cellStyleXfs count="2">
    <xf numFmtId="0" fontId="0" fillId="0" borderId="0"/>
    <xf numFmtId="0" fontId="7" fillId="0" borderId="0"/>
  </cellStyleXfs>
  <cellXfs count="70">
    <xf numFmtId="0" fontId="0" fillId="0" borderId="0" xfId="0"/>
    <xf numFmtId="0" fontId="2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2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vertical="center"/>
    </xf>
    <xf numFmtId="0" fontId="4" fillId="3" borderId="2" xfId="1" applyFont="1" applyFill="1" applyBorder="1" applyAlignment="1">
      <alignment vertical="center"/>
    </xf>
    <xf numFmtId="0" fontId="4" fillId="4" borderId="2" xfId="1" applyFont="1" applyFill="1" applyBorder="1" applyAlignment="1">
      <alignment vertical="center"/>
    </xf>
    <xf numFmtId="0" fontId="4" fillId="5" borderId="3" xfId="1" applyFont="1" applyFill="1" applyBorder="1" applyAlignment="1">
      <alignment vertical="center"/>
    </xf>
    <xf numFmtId="0" fontId="5" fillId="6" borderId="0" xfId="1" applyFont="1" applyFill="1" applyAlignment="1">
      <alignment horizontal="center" vertical="center" wrapText="1"/>
    </xf>
    <xf numFmtId="0" fontId="1" fillId="10" borderId="4" xfId="1" applyFont="1" applyFill="1" applyBorder="1" applyAlignment="1">
      <alignment horizontal="center" vertical="center"/>
    </xf>
    <xf numFmtId="0" fontId="1" fillId="10" borderId="5" xfId="1" applyFont="1" applyFill="1" applyBorder="1" applyAlignment="1">
      <alignment horizontal="center" vertical="center"/>
    </xf>
    <xf numFmtId="0" fontId="1" fillId="10" borderId="6" xfId="1" applyFont="1" applyFill="1" applyBorder="1" applyAlignment="1">
      <alignment horizontal="center" vertical="center"/>
    </xf>
    <xf numFmtId="0" fontId="1" fillId="10" borderId="7" xfId="1" applyFont="1" applyFill="1" applyBorder="1" applyAlignment="1">
      <alignment horizontal="center" vertical="center"/>
    </xf>
    <xf numFmtId="0" fontId="1" fillId="10" borderId="0" xfId="1" applyFont="1" applyFill="1" applyAlignment="1">
      <alignment horizontal="center" vertical="center"/>
    </xf>
    <xf numFmtId="0" fontId="1" fillId="10" borderId="8" xfId="1" applyFont="1" applyFill="1" applyBorder="1" applyAlignment="1">
      <alignment horizontal="center" vertical="center"/>
    </xf>
    <xf numFmtId="0" fontId="1" fillId="10" borderId="9" xfId="1" applyFont="1" applyFill="1" applyBorder="1" applyAlignment="1">
      <alignment horizontal="center" vertical="center"/>
    </xf>
    <xf numFmtId="0" fontId="1" fillId="10" borderId="10" xfId="1" applyFont="1" applyFill="1" applyBorder="1" applyAlignment="1">
      <alignment horizontal="center" vertical="center"/>
    </xf>
    <xf numFmtId="0" fontId="1" fillId="10" borderId="11" xfId="1" applyFont="1" applyFill="1" applyBorder="1" applyAlignment="1">
      <alignment horizontal="center" vertical="center"/>
    </xf>
    <xf numFmtId="0" fontId="1" fillId="11" borderId="4" xfId="1" applyFont="1" applyFill="1" applyBorder="1" applyAlignment="1">
      <alignment horizontal="center" vertical="center"/>
    </xf>
    <xf numFmtId="0" fontId="1" fillId="11" borderId="5" xfId="1" applyFont="1" applyFill="1" applyBorder="1" applyAlignment="1">
      <alignment horizontal="center" vertical="center"/>
    </xf>
    <xf numFmtId="0" fontId="1" fillId="11" borderId="6" xfId="1" applyFont="1" applyFill="1" applyBorder="1" applyAlignment="1">
      <alignment horizontal="center" vertical="center"/>
    </xf>
    <xf numFmtId="0" fontId="1" fillId="11" borderId="7" xfId="1" applyFont="1" applyFill="1" applyBorder="1" applyAlignment="1">
      <alignment horizontal="center" vertical="center"/>
    </xf>
    <xf numFmtId="0" fontId="1" fillId="11" borderId="0" xfId="1" applyFont="1" applyFill="1" applyAlignment="1">
      <alignment horizontal="center" vertical="center"/>
    </xf>
    <xf numFmtId="0" fontId="1" fillId="11" borderId="8" xfId="1" applyFont="1" applyFill="1" applyBorder="1" applyAlignment="1">
      <alignment horizontal="center" vertical="center"/>
    </xf>
    <xf numFmtId="0" fontId="1" fillId="11" borderId="9" xfId="1" applyFont="1" applyFill="1" applyBorder="1" applyAlignment="1">
      <alignment horizontal="center" vertical="center"/>
    </xf>
    <xf numFmtId="0" fontId="1" fillId="11" borderId="10" xfId="1" applyFont="1" applyFill="1" applyBorder="1" applyAlignment="1">
      <alignment horizontal="center" vertical="center"/>
    </xf>
    <xf numFmtId="0" fontId="1" fillId="11" borderId="11" xfId="1" applyFont="1" applyFill="1" applyBorder="1" applyAlignment="1">
      <alignment horizontal="center" vertical="center"/>
    </xf>
    <xf numFmtId="0" fontId="1" fillId="12" borderId="4" xfId="1" applyFont="1" applyFill="1" applyBorder="1" applyAlignment="1">
      <alignment horizontal="center" vertical="center"/>
    </xf>
    <xf numFmtId="0" fontId="1" fillId="12" borderId="5" xfId="1" applyFont="1" applyFill="1" applyBorder="1" applyAlignment="1">
      <alignment horizontal="center" vertical="center"/>
    </xf>
    <xf numFmtId="0" fontId="1" fillId="12" borderId="6" xfId="1" applyFont="1" applyFill="1" applyBorder="1" applyAlignment="1">
      <alignment horizontal="center" vertical="center"/>
    </xf>
    <xf numFmtId="0" fontId="1" fillId="12" borderId="7" xfId="1" applyFont="1" applyFill="1" applyBorder="1" applyAlignment="1">
      <alignment horizontal="center" vertical="center"/>
    </xf>
    <xf numFmtId="0" fontId="1" fillId="12" borderId="0" xfId="1" applyFont="1" applyFill="1" applyAlignment="1">
      <alignment horizontal="center" vertical="center"/>
    </xf>
    <xf numFmtId="0" fontId="1" fillId="12" borderId="8" xfId="1" applyFont="1" applyFill="1" applyBorder="1" applyAlignment="1">
      <alignment horizontal="center" vertical="center"/>
    </xf>
    <xf numFmtId="0" fontId="1" fillId="12" borderId="9" xfId="1" applyFont="1" applyFill="1" applyBorder="1" applyAlignment="1">
      <alignment horizontal="center" vertical="center"/>
    </xf>
    <xf numFmtId="0" fontId="1" fillId="12" borderId="10" xfId="1" applyFont="1" applyFill="1" applyBorder="1" applyAlignment="1">
      <alignment horizontal="center" vertical="center"/>
    </xf>
    <xf numFmtId="0" fontId="1" fillId="12" borderId="11" xfId="1" applyFont="1" applyFill="1" applyBorder="1" applyAlignment="1">
      <alignment horizontal="center" vertical="center"/>
    </xf>
    <xf numFmtId="0" fontId="1" fillId="13" borderId="4" xfId="1" applyFont="1" applyFill="1" applyBorder="1" applyAlignment="1">
      <alignment horizontal="center" vertical="center"/>
    </xf>
    <xf numFmtId="0" fontId="1" fillId="13" borderId="5" xfId="1" applyFont="1" applyFill="1" applyBorder="1" applyAlignment="1">
      <alignment horizontal="center" vertical="center"/>
    </xf>
    <xf numFmtId="0" fontId="1" fillId="13" borderId="6" xfId="1" applyFont="1" applyFill="1" applyBorder="1" applyAlignment="1">
      <alignment horizontal="center" vertical="center"/>
    </xf>
    <xf numFmtId="0" fontId="1" fillId="13" borderId="7" xfId="1" applyFont="1" applyFill="1" applyBorder="1" applyAlignment="1">
      <alignment horizontal="center" vertical="center"/>
    </xf>
    <xf numFmtId="0" fontId="1" fillId="13" borderId="0" xfId="1" applyFont="1" applyFill="1" applyAlignment="1">
      <alignment horizontal="center" vertical="center"/>
    </xf>
    <xf numFmtId="0" fontId="1" fillId="13" borderId="8" xfId="1" applyFont="1" applyFill="1" applyBorder="1" applyAlignment="1">
      <alignment horizontal="center" vertical="center"/>
    </xf>
    <xf numFmtId="0" fontId="1" fillId="13" borderId="9" xfId="1" applyFont="1" applyFill="1" applyBorder="1" applyAlignment="1">
      <alignment horizontal="center" vertical="center"/>
    </xf>
    <xf numFmtId="0" fontId="1" fillId="13" borderId="10" xfId="1" applyFont="1" applyFill="1" applyBorder="1" applyAlignment="1">
      <alignment horizontal="center" vertical="center"/>
    </xf>
    <xf numFmtId="0" fontId="1" fillId="13" borderId="11" xfId="1" applyFont="1" applyFill="1" applyBorder="1" applyAlignment="1">
      <alignment horizontal="center" vertical="center"/>
    </xf>
    <xf numFmtId="0" fontId="1" fillId="14" borderId="4" xfId="1" applyFont="1" applyFill="1" applyBorder="1" applyAlignment="1">
      <alignment horizontal="center" vertical="center"/>
    </xf>
    <xf numFmtId="0" fontId="1" fillId="14" borderId="5" xfId="1" applyFont="1" applyFill="1" applyBorder="1" applyAlignment="1">
      <alignment horizontal="center" vertical="center"/>
    </xf>
    <xf numFmtId="0" fontId="1" fillId="14" borderId="6" xfId="1" applyFont="1" applyFill="1" applyBorder="1" applyAlignment="1">
      <alignment horizontal="center" vertical="center"/>
    </xf>
    <xf numFmtId="0" fontId="1" fillId="14" borderId="7" xfId="1" applyFont="1" applyFill="1" applyBorder="1" applyAlignment="1">
      <alignment horizontal="center" vertical="center"/>
    </xf>
    <xf numFmtId="0" fontId="1" fillId="14" borderId="0" xfId="1" applyFont="1" applyFill="1" applyAlignment="1">
      <alignment horizontal="center" vertical="center"/>
    </xf>
    <xf numFmtId="0" fontId="1" fillId="14" borderId="8" xfId="1" applyFont="1" applyFill="1" applyBorder="1" applyAlignment="1">
      <alignment horizontal="center" vertical="center"/>
    </xf>
    <xf numFmtId="0" fontId="1" fillId="14" borderId="9" xfId="1" applyFont="1" applyFill="1" applyBorder="1" applyAlignment="1">
      <alignment horizontal="center" vertical="center"/>
    </xf>
    <xf numFmtId="0" fontId="1" fillId="14" borderId="10" xfId="1" applyFont="1" applyFill="1" applyBorder="1" applyAlignment="1">
      <alignment horizontal="center" vertical="center"/>
    </xf>
    <xf numFmtId="0" fontId="1" fillId="14" borderId="11" xfId="1" applyFont="1" applyFill="1" applyBorder="1" applyAlignment="1">
      <alignment horizontal="center" vertical="center"/>
    </xf>
    <xf numFmtId="0" fontId="1" fillId="15" borderId="4" xfId="1" applyFont="1" applyFill="1" applyBorder="1" applyAlignment="1">
      <alignment horizontal="center" vertical="center"/>
    </xf>
    <xf numFmtId="0" fontId="1" fillId="15" borderId="5" xfId="1" applyFont="1" applyFill="1" applyBorder="1" applyAlignment="1">
      <alignment horizontal="center" vertical="center"/>
    </xf>
    <xf numFmtId="0" fontId="1" fillId="15" borderId="6" xfId="1" applyFont="1" applyFill="1" applyBorder="1" applyAlignment="1">
      <alignment horizontal="center" vertical="center"/>
    </xf>
    <xf numFmtId="0" fontId="1" fillId="15" borderId="7" xfId="1" applyFont="1" applyFill="1" applyBorder="1" applyAlignment="1">
      <alignment horizontal="center" vertical="center"/>
    </xf>
    <xf numFmtId="0" fontId="1" fillId="15" borderId="0" xfId="1" applyFont="1" applyFill="1" applyAlignment="1">
      <alignment horizontal="center" vertical="center"/>
    </xf>
    <xf numFmtId="0" fontId="1" fillId="15" borderId="8" xfId="1" applyFont="1" applyFill="1" applyBorder="1" applyAlignment="1">
      <alignment horizontal="center" vertical="center"/>
    </xf>
    <xf numFmtId="0" fontId="1" fillId="15" borderId="9" xfId="1" applyFont="1" applyFill="1" applyBorder="1" applyAlignment="1">
      <alignment horizontal="center" vertical="center"/>
    </xf>
    <xf numFmtId="0" fontId="1" fillId="15" borderId="10" xfId="1" applyFont="1" applyFill="1" applyBorder="1" applyAlignment="1">
      <alignment horizontal="center" vertical="center"/>
    </xf>
    <xf numFmtId="0" fontId="1" fillId="15" borderId="11" xfId="1" applyFont="1" applyFill="1" applyBorder="1" applyAlignment="1">
      <alignment horizontal="center" vertical="center"/>
    </xf>
    <xf numFmtId="0" fontId="1" fillId="7" borderId="0" xfId="1" applyFont="1" applyFill="1" applyAlignment="1">
      <alignment horizontal="left" vertical="center"/>
    </xf>
    <xf numFmtId="2" fontId="1" fillId="7" borderId="0" xfId="1" applyNumberFormat="1" applyFont="1" applyFill="1" applyAlignment="1">
      <alignment horizontal="right" vertical="center"/>
    </xf>
    <xf numFmtId="2" fontId="6" fillId="8" borderId="0" xfId="1" applyNumberFormat="1" applyFont="1" applyFill="1" applyAlignment="1">
      <alignment horizontal="right" vertical="center"/>
    </xf>
    <xf numFmtId="2" fontId="1" fillId="9" borderId="0" xfId="1" applyNumberFormat="1" applyFont="1" applyFill="1" applyAlignment="1">
      <alignment horizontal="right" vertical="center"/>
    </xf>
    <xf numFmtId="176" fontId="1" fillId="7" borderId="0" xfId="1" applyNumberFormat="1" applyFont="1" applyFill="1" applyAlignment="1">
      <alignment horizontal="right" vertical="center"/>
    </xf>
    <xf numFmtId="177" fontId="1" fillId="7" borderId="0" xfId="1" applyNumberFormat="1" applyFont="1" applyFill="1" applyAlignment="1">
      <alignment horizontal="right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ogboneModulusRecords" displayName="DogboneModulusRecords" ref="A5:K40" totalsRowShown="0">
  <autoFilter ref="A5:K40" xr:uid="{00000000-0009-0000-0100-000001000000}"/>
  <tableColumns count="11">
    <tableColumn id="1" xr3:uid="{00000000-0010-0000-0000-000001000000}" name="填充率 (%)"/>
    <tableColumn id="2" xr3:uid="{00000000-0010-0000-0000-000002000000}" name="组内编号"/>
    <tableColumn id="3" xr3:uid="{00000000-0010-0000-0000-000003000000}" name="试样编号"/>
    <tableColumn id="4" xr3:uid="{00000000-0010-0000-0000-000004000000}" name="平均窄段宽度 b (mm)"/>
    <tableColumn id="5" xr3:uid="{00000000-0010-0000-0000-000005000000}" name="平均厚度 t (mm)"/>
    <tableColumn id="6" xr3:uid="{00000000-0010-0000-0000-000006000000}" name="初始截面积 A0 (mm²)"/>
    <tableColumn id="7" xr3:uid="{00000000-0010-0000-0000-000007000000}" name="原始标距 L0 (mm)"/>
    <tableColumn id="8" xr3:uid="{00000000-0010-0000-0000-000008000000}" name="引伸计杨氏模量 Eext (MPa)"/>
    <tableColumn id="9" xr3:uid="{00000000-0010-0000-0000-000009000000}" name="DIC杨氏模量 EDIC (MPa)"/>
    <tableColumn id="10" xr3:uid="{00000000-0010-0000-0000-00000A000000}" name="DIC有效泊松比 νeff"/>
    <tableColumn id="11" xr3:uid="{00000000-0010-0000-0000-00000B000000}" name="备注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K40"/>
  <sheetViews>
    <sheetView showGridLines="0" tabSelected="1" workbookViewId="0">
      <pane xSplit="3" ySplit="5" topLeftCell="D24" activePane="bottomRight" state="frozen"/>
      <selection pane="topRight"/>
      <selection pane="bottomLeft"/>
      <selection pane="bottomRight" activeCell="E30" sqref="E30"/>
    </sheetView>
  </sheetViews>
  <sheetFormatPr defaultRowHeight="14"/>
  <cols>
    <col min="1" max="1" width="12" customWidth="1"/>
    <col min="2" max="2" width="11" customWidth="1"/>
    <col min="3" max="3" width="13" customWidth="1"/>
    <col min="4" max="4" width="21" customWidth="1"/>
    <col min="5" max="5" width="17" customWidth="1"/>
    <col min="6" max="6" width="21" customWidth="1"/>
    <col min="7" max="7" width="18" customWidth="1"/>
    <col min="8" max="8" width="25" customWidth="1"/>
    <col min="9" max="9" width="24" customWidth="1"/>
    <col min="10" max="10" width="20" customWidth="1"/>
    <col min="11" max="11" width="30" customWidth="1"/>
  </cols>
  <sheetData>
    <row r="1" spans="1:11" ht="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4" t="s">
        <v>2</v>
      </c>
      <c r="B4" s="5"/>
      <c r="C4" s="5"/>
      <c r="D4" s="6" t="s">
        <v>3</v>
      </c>
      <c r="E4" s="6"/>
      <c r="F4" s="6"/>
      <c r="G4" s="6"/>
      <c r="H4" s="7" t="s">
        <v>4</v>
      </c>
      <c r="I4" s="7"/>
      <c r="J4" s="7"/>
      <c r="K4" s="8" t="s">
        <v>5</v>
      </c>
    </row>
    <row r="5" spans="1:11" ht="44" customHeight="1">
      <c r="A5" s="9" t="s">
        <v>6</v>
      </c>
      <c r="B5" s="9" t="s">
        <v>7</v>
      </c>
      <c r="C5" s="9" t="s">
        <v>8</v>
      </c>
      <c r="D5" s="9" t="s">
        <v>9</v>
      </c>
      <c r="E5" s="9" t="s">
        <v>10</v>
      </c>
      <c r="F5" s="9" t="s">
        <v>11</v>
      </c>
      <c r="G5" s="9" t="s">
        <v>12</v>
      </c>
      <c r="H5" s="9" t="s">
        <v>13</v>
      </c>
      <c r="I5" s="9" t="s">
        <v>14</v>
      </c>
      <c r="J5" s="9" t="s">
        <v>15</v>
      </c>
      <c r="K5" s="9" t="s">
        <v>5</v>
      </c>
    </row>
    <row r="6" spans="1:11" ht="22" customHeight="1">
      <c r="A6" s="10">
        <v>40</v>
      </c>
      <c r="B6" s="11">
        <v>1</v>
      </c>
      <c r="C6" s="12" t="s">
        <v>16</v>
      </c>
      <c r="D6" s="65">
        <v>9.89</v>
      </c>
      <c r="E6" s="65">
        <v>3.26</v>
      </c>
      <c r="F6" s="66">
        <f t="shared" ref="F6:F40" si="0">IF(AND(ISNUMBER(D6),ISNUMBER(E6),D6&gt;0,E6&gt;0),D6*E6,"")</f>
        <v>32.241399999999999</v>
      </c>
      <c r="G6" s="67">
        <v>50</v>
      </c>
      <c r="H6" s="68"/>
      <c r="I6" s="68"/>
      <c r="J6" s="69"/>
      <c r="K6" s="64"/>
    </row>
    <row r="7" spans="1:11" ht="22" customHeight="1">
      <c r="A7" s="13">
        <v>40</v>
      </c>
      <c r="B7" s="14">
        <v>2</v>
      </c>
      <c r="C7" s="15" t="s">
        <v>17</v>
      </c>
      <c r="D7" s="65">
        <v>9.91</v>
      </c>
      <c r="E7" s="65">
        <v>3.26</v>
      </c>
      <c r="F7" s="66">
        <f t="shared" si="0"/>
        <v>32.306599999999996</v>
      </c>
      <c r="G7" s="67">
        <v>50</v>
      </c>
      <c r="H7" s="68"/>
      <c r="I7" s="68"/>
      <c r="J7" s="69"/>
      <c r="K7" s="64"/>
    </row>
    <row r="8" spans="1:11" ht="22" customHeight="1">
      <c r="A8" s="13">
        <v>40</v>
      </c>
      <c r="B8" s="14">
        <v>3</v>
      </c>
      <c r="C8" s="15" t="s">
        <v>18</v>
      </c>
      <c r="D8" s="65">
        <v>9.8800000000000008</v>
      </c>
      <c r="E8" s="65">
        <v>3.27</v>
      </c>
      <c r="F8" s="66">
        <f t="shared" si="0"/>
        <v>32.307600000000001</v>
      </c>
      <c r="G8" s="67">
        <v>50</v>
      </c>
      <c r="H8" s="68"/>
      <c r="I8" s="68"/>
      <c r="J8" s="69"/>
      <c r="K8" s="64"/>
    </row>
    <row r="9" spans="1:11" ht="22" customHeight="1">
      <c r="A9" s="13">
        <v>40</v>
      </c>
      <c r="B9" s="14">
        <v>4</v>
      </c>
      <c r="C9" s="15" t="s">
        <v>19</v>
      </c>
      <c r="D9" s="65">
        <v>9.89</v>
      </c>
      <c r="E9" s="65">
        <v>3.24</v>
      </c>
      <c r="F9" s="66">
        <f t="shared" si="0"/>
        <v>32.043600000000005</v>
      </c>
      <c r="G9" s="67">
        <v>50</v>
      </c>
      <c r="H9" s="68"/>
      <c r="I9" s="68"/>
      <c r="J9" s="69"/>
      <c r="K9" s="64"/>
    </row>
    <row r="10" spans="1:11" ht="22" customHeight="1">
      <c r="A10" s="16">
        <v>40</v>
      </c>
      <c r="B10" s="17">
        <v>5</v>
      </c>
      <c r="C10" s="18" t="s">
        <v>20</v>
      </c>
      <c r="D10" s="65">
        <v>9.89</v>
      </c>
      <c r="E10" s="65">
        <v>3.26</v>
      </c>
      <c r="F10" s="66">
        <f t="shared" si="0"/>
        <v>32.241399999999999</v>
      </c>
      <c r="G10" s="67">
        <v>50</v>
      </c>
      <c r="H10" s="68"/>
      <c r="I10" s="68"/>
      <c r="J10" s="69"/>
      <c r="K10" s="64"/>
    </row>
    <row r="11" spans="1:11" ht="22" customHeight="1">
      <c r="A11" s="19">
        <v>50</v>
      </c>
      <c r="B11" s="20">
        <v>1</v>
      </c>
      <c r="C11" s="21" t="s">
        <v>21</v>
      </c>
      <c r="D11" s="65">
        <v>9.89</v>
      </c>
      <c r="E11" s="65">
        <v>3.24</v>
      </c>
      <c r="F11" s="66">
        <f t="shared" si="0"/>
        <v>32.043600000000005</v>
      </c>
      <c r="G11" s="67">
        <v>50</v>
      </c>
      <c r="H11" s="68"/>
      <c r="I11" s="68"/>
      <c r="J11" s="69"/>
      <c r="K11" s="64"/>
    </row>
    <row r="12" spans="1:11" ht="22" customHeight="1">
      <c r="A12" s="22">
        <v>50</v>
      </c>
      <c r="B12" s="23">
        <v>2</v>
      </c>
      <c r="C12" s="24" t="s">
        <v>22</v>
      </c>
      <c r="D12" s="65">
        <v>9.9</v>
      </c>
      <c r="E12" s="65">
        <v>3.25</v>
      </c>
      <c r="F12" s="66">
        <f t="shared" si="0"/>
        <v>32.175000000000004</v>
      </c>
      <c r="G12" s="67">
        <v>50</v>
      </c>
      <c r="H12" s="68"/>
      <c r="I12" s="68"/>
      <c r="J12" s="69"/>
      <c r="K12" s="64"/>
    </row>
    <row r="13" spans="1:11" ht="22" customHeight="1">
      <c r="A13" s="22">
        <v>50</v>
      </c>
      <c r="B13" s="23">
        <v>3</v>
      </c>
      <c r="C13" s="24" t="s">
        <v>23</v>
      </c>
      <c r="D13" s="65">
        <v>9.91</v>
      </c>
      <c r="E13" s="65">
        <v>3.23</v>
      </c>
      <c r="F13" s="66">
        <f t="shared" si="0"/>
        <v>32.009300000000003</v>
      </c>
      <c r="G13" s="67">
        <v>50</v>
      </c>
      <c r="H13" s="68"/>
      <c r="I13" s="68"/>
      <c r="J13" s="69"/>
      <c r="K13" s="64"/>
    </row>
    <row r="14" spans="1:11" ht="22" customHeight="1">
      <c r="A14" s="22">
        <v>50</v>
      </c>
      <c r="B14" s="23">
        <v>4</v>
      </c>
      <c r="C14" s="24" t="s">
        <v>24</v>
      </c>
      <c r="D14" s="65">
        <v>9.91</v>
      </c>
      <c r="E14" s="65">
        <v>3.23</v>
      </c>
      <c r="F14" s="66">
        <f t="shared" si="0"/>
        <v>32.009300000000003</v>
      </c>
      <c r="G14" s="67">
        <v>50</v>
      </c>
      <c r="H14" s="68"/>
      <c r="I14" s="68"/>
      <c r="J14" s="69"/>
      <c r="K14" s="64"/>
    </row>
    <row r="15" spans="1:11" ht="22" customHeight="1">
      <c r="A15" s="25">
        <v>50</v>
      </c>
      <c r="B15" s="26">
        <v>5</v>
      </c>
      <c r="C15" s="27" t="s">
        <v>25</v>
      </c>
      <c r="D15" s="65">
        <v>9.92</v>
      </c>
      <c r="E15" s="65">
        <v>3.25</v>
      </c>
      <c r="F15" s="66">
        <f t="shared" si="0"/>
        <v>32.24</v>
      </c>
      <c r="G15" s="67">
        <v>50</v>
      </c>
      <c r="H15" s="68"/>
      <c r="I15" s="68"/>
      <c r="J15" s="69"/>
      <c r="K15" s="64"/>
    </row>
    <row r="16" spans="1:11" ht="22" customHeight="1">
      <c r="A16" s="28">
        <v>60</v>
      </c>
      <c r="B16" s="29">
        <v>1</v>
      </c>
      <c r="C16" s="30" t="s">
        <v>26</v>
      </c>
      <c r="D16" s="65">
        <v>9.89</v>
      </c>
      <c r="E16" s="65">
        <v>3.27</v>
      </c>
      <c r="F16" s="66">
        <f t="shared" si="0"/>
        <v>32.340299999999999</v>
      </c>
      <c r="G16" s="67">
        <v>50</v>
      </c>
      <c r="H16" s="68"/>
      <c r="I16" s="68"/>
      <c r="J16" s="69"/>
      <c r="K16" s="64"/>
    </row>
    <row r="17" spans="1:11" ht="22" customHeight="1">
      <c r="A17" s="31">
        <v>60</v>
      </c>
      <c r="B17" s="32">
        <v>2</v>
      </c>
      <c r="C17" s="33" t="s">
        <v>27</v>
      </c>
      <c r="D17" s="65">
        <v>9.89</v>
      </c>
      <c r="E17" s="65">
        <v>3.28</v>
      </c>
      <c r="F17" s="66">
        <f t="shared" si="0"/>
        <v>32.4392</v>
      </c>
      <c r="G17" s="67">
        <v>50</v>
      </c>
      <c r="H17" s="68"/>
      <c r="I17" s="68"/>
      <c r="J17" s="69"/>
      <c r="K17" s="64"/>
    </row>
    <row r="18" spans="1:11" ht="22" customHeight="1">
      <c r="A18" s="31">
        <v>60</v>
      </c>
      <c r="B18" s="32">
        <v>3</v>
      </c>
      <c r="C18" s="33" t="s">
        <v>28</v>
      </c>
      <c r="D18" s="65">
        <v>9.91</v>
      </c>
      <c r="E18" s="65">
        <v>3.29</v>
      </c>
      <c r="F18" s="66">
        <f t="shared" si="0"/>
        <v>32.603900000000003</v>
      </c>
      <c r="G18" s="67">
        <v>50</v>
      </c>
      <c r="H18" s="68"/>
      <c r="I18" s="68"/>
      <c r="J18" s="69"/>
      <c r="K18" s="64"/>
    </row>
    <row r="19" spans="1:11" ht="22" customHeight="1">
      <c r="A19" s="31">
        <v>60</v>
      </c>
      <c r="B19" s="32">
        <v>4</v>
      </c>
      <c r="C19" s="33" t="s">
        <v>29</v>
      </c>
      <c r="D19" s="65">
        <v>9.9</v>
      </c>
      <c r="E19" s="65">
        <v>3.28</v>
      </c>
      <c r="F19" s="66">
        <f t="shared" si="0"/>
        <v>32.472000000000001</v>
      </c>
      <c r="G19" s="67">
        <v>50</v>
      </c>
      <c r="H19" s="68"/>
      <c r="I19" s="68"/>
      <c r="J19" s="69"/>
      <c r="K19" s="64"/>
    </row>
    <row r="20" spans="1:11" ht="22" customHeight="1">
      <c r="A20" s="34">
        <v>60</v>
      </c>
      <c r="B20" s="35">
        <v>5</v>
      </c>
      <c r="C20" s="36" t="s">
        <v>30</v>
      </c>
      <c r="D20" s="65">
        <v>9.91</v>
      </c>
      <c r="E20" s="65">
        <v>3.29</v>
      </c>
      <c r="F20" s="66">
        <f t="shared" si="0"/>
        <v>32.603900000000003</v>
      </c>
      <c r="G20" s="67">
        <v>50</v>
      </c>
      <c r="H20" s="68"/>
      <c r="I20" s="68"/>
      <c r="J20" s="69"/>
      <c r="K20" s="64"/>
    </row>
    <row r="21" spans="1:11" ht="22" customHeight="1">
      <c r="A21" s="37">
        <v>70</v>
      </c>
      <c r="B21" s="38">
        <v>1</v>
      </c>
      <c r="C21" s="39" t="s">
        <v>31</v>
      </c>
      <c r="D21" s="65">
        <v>9.8699999999999992</v>
      </c>
      <c r="E21" s="65">
        <v>3.26</v>
      </c>
      <c r="F21" s="66">
        <f t="shared" si="0"/>
        <v>32.176199999999994</v>
      </c>
      <c r="G21" s="67">
        <v>50</v>
      </c>
      <c r="H21" s="68"/>
      <c r="I21" s="68"/>
      <c r="J21" s="69"/>
      <c r="K21" s="64"/>
    </row>
    <row r="22" spans="1:11" ht="22" customHeight="1">
      <c r="A22" s="40">
        <v>70</v>
      </c>
      <c r="B22" s="41">
        <v>2</v>
      </c>
      <c r="C22" s="42" t="s">
        <v>32</v>
      </c>
      <c r="D22" s="65">
        <v>9.8800000000000008</v>
      </c>
      <c r="E22" s="65">
        <v>3.26</v>
      </c>
      <c r="F22" s="66">
        <f t="shared" si="0"/>
        <v>32.208800000000004</v>
      </c>
      <c r="G22" s="67">
        <v>50</v>
      </c>
      <c r="H22" s="68"/>
      <c r="I22" s="68"/>
      <c r="J22" s="69"/>
      <c r="K22" s="64"/>
    </row>
    <row r="23" spans="1:11" ht="22" customHeight="1">
      <c r="A23" s="40">
        <v>70</v>
      </c>
      <c r="B23" s="41">
        <v>3</v>
      </c>
      <c r="C23" s="42" t="s">
        <v>33</v>
      </c>
      <c r="D23" s="65">
        <v>9.8699999999999992</v>
      </c>
      <c r="E23" s="65">
        <v>3.28</v>
      </c>
      <c r="F23" s="66">
        <f t="shared" si="0"/>
        <v>32.373599999999996</v>
      </c>
      <c r="G23" s="67">
        <v>50</v>
      </c>
      <c r="H23" s="68"/>
      <c r="I23" s="68"/>
      <c r="J23" s="69"/>
      <c r="K23" s="64"/>
    </row>
    <row r="24" spans="1:11" ht="22" customHeight="1">
      <c r="A24" s="40">
        <v>70</v>
      </c>
      <c r="B24" s="41">
        <v>4</v>
      </c>
      <c r="C24" s="42" t="s">
        <v>34</v>
      </c>
      <c r="D24" s="65">
        <v>9.89</v>
      </c>
      <c r="E24" s="65">
        <v>3.27</v>
      </c>
      <c r="F24" s="66">
        <f t="shared" si="0"/>
        <v>32.340299999999999</v>
      </c>
      <c r="G24" s="67">
        <v>50</v>
      </c>
      <c r="H24" s="68"/>
      <c r="I24" s="68"/>
      <c r="J24" s="69"/>
      <c r="K24" s="64"/>
    </row>
    <row r="25" spans="1:11" ht="22" customHeight="1">
      <c r="A25" s="43">
        <v>70</v>
      </c>
      <c r="B25" s="44">
        <v>5</v>
      </c>
      <c r="C25" s="45" t="s">
        <v>35</v>
      </c>
      <c r="D25" s="65">
        <v>9.8800000000000008</v>
      </c>
      <c r="E25" s="65">
        <v>3.27</v>
      </c>
      <c r="F25" s="66">
        <f t="shared" si="0"/>
        <v>32.307600000000001</v>
      </c>
      <c r="G25" s="67">
        <v>50</v>
      </c>
      <c r="H25" s="68"/>
      <c r="I25" s="68"/>
      <c r="J25" s="69"/>
      <c r="K25" s="64"/>
    </row>
    <row r="26" spans="1:11" ht="22" customHeight="1">
      <c r="A26" s="46">
        <v>80</v>
      </c>
      <c r="B26" s="47">
        <v>1</v>
      </c>
      <c r="C26" s="48" t="s">
        <v>36</v>
      </c>
      <c r="D26" s="65">
        <v>9.8699999999999992</v>
      </c>
      <c r="E26" s="65">
        <v>3.26</v>
      </c>
      <c r="F26" s="66">
        <f>IF(AND(ISNUMBER(D26),ISNUMBER(E26),D26&gt;0,E26&gt;0),D26*E26,"")</f>
        <v>32.176199999999994</v>
      </c>
      <c r="G26" s="67">
        <v>50</v>
      </c>
      <c r="H26" s="68"/>
      <c r="I26" s="68"/>
      <c r="J26" s="69"/>
      <c r="K26" s="64"/>
    </row>
    <row r="27" spans="1:11" ht="22" customHeight="1">
      <c r="A27" s="49">
        <v>80</v>
      </c>
      <c r="B27" s="50">
        <v>2</v>
      </c>
      <c r="C27" s="51" t="s">
        <v>37</v>
      </c>
      <c r="D27" s="65">
        <v>9.86</v>
      </c>
      <c r="E27" s="65">
        <v>3.26</v>
      </c>
      <c r="F27" s="66">
        <f t="shared" si="0"/>
        <v>32.143599999999999</v>
      </c>
      <c r="G27" s="67">
        <v>50</v>
      </c>
      <c r="H27" s="68"/>
      <c r="I27" s="68"/>
      <c r="J27" s="69"/>
      <c r="K27" s="64"/>
    </row>
    <row r="28" spans="1:11" ht="22" customHeight="1">
      <c r="A28" s="49">
        <v>80</v>
      </c>
      <c r="B28" s="50">
        <v>3</v>
      </c>
      <c r="C28" s="51" t="s">
        <v>38</v>
      </c>
      <c r="D28" s="65">
        <v>9.86</v>
      </c>
      <c r="E28" s="65">
        <v>3.27</v>
      </c>
      <c r="F28" s="66">
        <f t="shared" si="0"/>
        <v>32.242199999999997</v>
      </c>
      <c r="G28" s="67">
        <v>50</v>
      </c>
      <c r="H28" s="68"/>
      <c r="I28" s="68"/>
      <c r="J28" s="69"/>
      <c r="K28" s="64"/>
    </row>
    <row r="29" spans="1:11" ht="22" customHeight="1">
      <c r="A29" s="49">
        <v>80</v>
      </c>
      <c r="B29" s="50">
        <v>4</v>
      </c>
      <c r="C29" s="51" t="s">
        <v>39</v>
      </c>
      <c r="D29" s="65">
        <v>9.8800000000000008</v>
      </c>
      <c r="E29" s="65">
        <v>3.26</v>
      </c>
      <c r="F29" s="66">
        <f t="shared" si="0"/>
        <v>32.208800000000004</v>
      </c>
      <c r="G29" s="67">
        <v>50</v>
      </c>
      <c r="H29" s="68"/>
      <c r="I29" s="68"/>
      <c r="J29" s="69"/>
      <c r="K29" s="64"/>
    </row>
    <row r="30" spans="1:11" ht="22" customHeight="1">
      <c r="A30" s="52">
        <v>80</v>
      </c>
      <c r="B30" s="53">
        <v>5</v>
      </c>
      <c r="C30" s="54" t="s">
        <v>40</v>
      </c>
      <c r="D30" s="65">
        <v>9.8800000000000008</v>
      </c>
      <c r="E30" s="65">
        <v>3.27</v>
      </c>
      <c r="F30" s="66">
        <f t="shared" si="0"/>
        <v>32.307600000000001</v>
      </c>
      <c r="G30" s="67">
        <v>50</v>
      </c>
      <c r="H30" s="68"/>
      <c r="I30" s="68"/>
      <c r="J30" s="69"/>
      <c r="K30" s="64"/>
    </row>
    <row r="31" spans="1:11" ht="22" customHeight="1">
      <c r="A31" s="55">
        <v>90</v>
      </c>
      <c r="B31" s="56">
        <v>1</v>
      </c>
      <c r="C31" s="57" t="s">
        <v>41</v>
      </c>
      <c r="D31" s="65">
        <v>9.89</v>
      </c>
      <c r="E31" s="65">
        <v>3.28</v>
      </c>
      <c r="F31" s="66">
        <f t="shared" si="0"/>
        <v>32.4392</v>
      </c>
      <c r="G31" s="67">
        <v>50</v>
      </c>
      <c r="H31" s="68"/>
      <c r="I31" s="68"/>
      <c r="J31" s="69"/>
      <c r="K31" s="64"/>
    </row>
    <row r="32" spans="1:11" ht="22" customHeight="1">
      <c r="A32" s="58">
        <v>90</v>
      </c>
      <c r="B32" s="59">
        <v>2</v>
      </c>
      <c r="C32" s="60" t="s">
        <v>42</v>
      </c>
      <c r="D32" s="65">
        <v>9.8699999999999992</v>
      </c>
      <c r="E32" s="65">
        <v>3.26</v>
      </c>
      <c r="F32" s="66">
        <f t="shared" si="0"/>
        <v>32.176199999999994</v>
      </c>
      <c r="G32" s="67">
        <v>50</v>
      </c>
      <c r="H32" s="68"/>
      <c r="I32" s="68"/>
      <c r="J32" s="69"/>
      <c r="K32" s="64"/>
    </row>
    <row r="33" spans="1:11" ht="22" customHeight="1">
      <c r="A33" s="58">
        <v>90</v>
      </c>
      <c r="B33" s="59">
        <v>3</v>
      </c>
      <c r="C33" s="60" t="s">
        <v>43</v>
      </c>
      <c r="D33" s="65">
        <v>9.8699999999999992</v>
      </c>
      <c r="E33" s="65">
        <v>3.26</v>
      </c>
      <c r="F33" s="66">
        <f t="shared" si="0"/>
        <v>32.176199999999994</v>
      </c>
      <c r="G33" s="67">
        <v>50</v>
      </c>
      <c r="H33" s="68"/>
      <c r="I33" s="68"/>
      <c r="J33" s="69"/>
      <c r="K33" s="64"/>
    </row>
    <row r="34" spans="1:11" ht="22" customHeight="1">
      <c r="A34" s="58">
        <v>90</v>
      </c>
      <c r="B34" s="59">
        <v>4</v>
      </c>
      <c r="C34" s="60" t="s">
        <v>44</v>
      </c>
      <c r="D34" s="65">
        <v>9.8800000000000008</v>
      </c>
      <c r="E34" s="65">
        <v>3.26</v>
      </c>
      <c r="F34" s="66">
        <f t="shared" si="0"/>
        <v>32.208800000000004</v>
      </c>
      <c r="G34" s="67">
        <v>50</v>
      </c>
      <c r="H34" s="68"/>
      <c r="I34" s="68"/>
      <c r="J34" s="69"/>
      <c r="K34" s="64"/>
    </row>
    <row r="35" spans="1:11" ht="22" customHeight="1">
      <c r="A35" s="61">
        <v>90</v>
      </c>
      <c r="B35" s="62">
        <v>5</v>
      </c>
      <c r="C35" s="63" t="s">
        <v>45</v>
      </c>
      <c r="D35" s="65">
        <v>9.9</v>
      </c>
      <c r="E35" s="65">
        <v>3.27</v>
      </c>
      <c r="F35" s="66">
        <f t="shared" si="0"/>
        <v>32.373000000000005</v>
      </c>
      <c r="G35" s="67">
        <v>50</v>
      </c>
      <c r="H35" s="68"/>
      <c r="I35" s="68"/>
      <c r="J35" s="69"/>
      <c r="K35" s="64"/>
    </row>
    <row r="36" spans="1:11" ht="22" customHeight="1">
      <c r="A36" s="10">
        <v>100</v>
      </c>
      <c r="B36" s="11">
        <v>1</v>
      </c>
      <c r="C36" s="12" t="s">
        <v>46</v>
      </c>
      <c r="D36" s="65">
        <v>9.86</v>
      </c>
      <c r="E36" s="65">
        <v>3.22</v>
      </c>
      <c r="F36" s="66">
        <f>IF(AND(ISNUMBER(D36),ISNUMBER(E36),D36&gt;0,E36&gt;0),D36*E36,"")</f>
        <v>31.749200000000002</v>
      </c>
      <c r="G36" s="67">
        <v>50</v>
      </c>
      <c r="H36" s="68"/>
      <c r="I36" s="68"/>
      <c r="J36" s="69"/>
      <c r="K36" s="64"/>
    </row>
    <row r="37" spans="1:11" ht="22" customHeight="1">
      <c r="A37" s="13">
        <v>100</v>
      </c>
      <c r="B37" s="14">
        <v>2</v>
      </c>
      <c r="C37" s="15" t="s">
        <v>47</v>
      </c>
      <c r="D37" s="65">
        <v>9.89</v>
      </c>
      <c r="E37" s="65">
        <v>3.21</v>
      </c>
      <c r="F37" s="66">
        <f t="shared" si="0"/>
        <v>31.7469</v>
      </c>
      <c r="G37" s="67">
        <v>50</v>
      </c>
      <c r="H37" s="68"/>
      <c r="I37" s="68"/>
      <c r="J37" s="69"/>
      <c r="K37" s="64"/>
    </row>
    <row r="38" spans="1:11" ht="22" customHeight="1">
      <c r="A38" s="13">
        <v>100</v>
      </c>
      <c r="B38" s="14">
        <v>3</v>
      </c>
      <c r="C38" s="15" t="s">
        <v>48</v>
      </c>
      <c r="D38" s="65">
        <v>9.89</v>
      </c>
      <c r="E38" s="65">
        <v>3.22</v>
      </c>
      <c r="F38" s="66">
        <f t="shared" si="0"/>
        <v>31.845800000000004</v>
      </c>
      <c r="G38" s="67">
        <v>50</v>
      </c>
      <c r="H38" s="68"/>
      <c r="I38" s="68"/>
      <c r="J38" s="69"/>
      <c r="K38" s="64"/>
    </row>
    <row r="39" spans="1:11" ht="22" customHeight="1">
      <c r="A39" s="13">
        <v>100</v>
      </c>
      <c r="B39" s="14">
        <v>4</v>
      </c>
      <c r="C39" s="15" t="s">
        <v>49</v>
      </c>
      <c r="D39" s="65">
        <v>9.89</v>
      </c>
      <c r="E39" s="65">
        <v>3.21</v>
      </c>
      <c r="F39" s="66">
        <f t="shared" si="0"/>
        <v>31.7469</v>
      </c>
      <c r="G39" s="67">
        <v>50</v>
      </c>
      <c r="H39" s="68"/>
      <c r="I39" s="68"/>
      <c r="J39" s="69"/>
      <c r="K39" s="64"/>
    </row>
    <row r="40" spans="1:11" ht="22" customHeight="1">
      <c r="A40" s="16">
        <v>100</v>
      </c>
      <c r="B40" s="17">
        <v>5</v>
      </c>
      <c r="C40" s="18" t="s">
        <v>50</v>
      </c>
      <c r="D40" s="65">
        <v>9.8800000000000008</v>
      </c>
      <c r="E40" s="65">
        <v>3.23</v>
      </c>
      <c r="F40" s="66">
        <f t="shared" si="0"/>
        <v>31.912400000000002</v>
      </c>
      <c r="G40" s="67">
        <v>50</v>
      </c>
      <c r="H40" s="68"/>
      <c r="I40" s="68"/>
      <c r="J40" s="69"/>
      <c r="K40" s="64"/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试验记录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Gengxuan Zhu</cp:lastModifiedBy>
  <dcterms:modified xsi:type="dcterms:W3CDTF">2026-10-10T04:05:39Z</dcterms:modified>
</cp:coreProperties>
</file>